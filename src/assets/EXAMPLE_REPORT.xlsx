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<sst xmlns="http://schemas.openxmlformats.org/spreadsheetml/2006/main" count="163" uniqueCount="62">
  <si>
    <t xml:space="preserve">
EXAMPLE REPORT</t>
  </si>
  <si>
    <t>TO</t>
  </si>
  <si>
    <t>IMPORTADORA DE FLORES S.A.</t>
  </si>
  <si>
    <t>CONSIGNEE</t>
  </si>
  <si>
    <t>E.T.D.</t>
  </si>
  <si>
    <t>Thursday, March 5th of 2026, 18:30</t>
  </si>
  <si>
    <t>E.T.A.</t>
  </si>
  <si>
    <t>Thursday, March 6th of 2026, 18:30</t>
  </si>
  <si>
    <t>REF</t>
  </si>
  <si>
    <t>EXAMPLE REPORT</t>
  </si>
  <si>
    <t>AWB</t>
  </si>
  <si>
    <t>123-12345678</t>
  </si>
  <si>
    <t>AIRLINE</t>
  </si>
  <si>
    <t>EXAMPLE AIRLINE</t>
  </si>
  <si>
    <t>FLIGHT</t>
  </si>
  <si>
    <t>XY 1234-ABC12</t>
  </si>
  <si>
    <t>AWB ARRIVAL</t>
  </si>
  <si>
    <t>OBSERVATIONS</t>
  </si>
  <si>
    <t>Disclaimer: This report was created for demonstration purposes only using anonymized and fictitious data. It does not represent a real commercial invoice or any actual commercial transaction.</t>
  </si>
  <si>
    <t>SHIPMENT DETAILS</t>
  </si>
  <si>
    <t>CONSIGNEE IMPORTADORA DE FLORES S.A.</t>
  </si>
  <si>
    <t>DESTIN</t>
  </si>
  <si>
    <t>FARM</t>
  </si>
  <si>
    <t>HAWB</t>
  </si>
  <si>
    <t>VARIETY</t>
  </si>
  <si>
    <t>UNITS</t>
  </si>
  <si>
    <t>VALUE</t>
  </si>
  <si>
    <t>HB</t>
  </si>
  <si>
    <t>QB</t>
  </si>
  <si>
    <t>SB</t>
  </si>
  <si>
    <t>EQ FULL</t>
  </si>
  <si>
    <t>PIECES</t>
  </si>
  <si>
    <t>TEMP</t>
  </si>
  <si>
    <t>WEIGHT</t>
  </si>
  <si>
    <t>EXAMPLE FARM E</t>
  </si>
  <si>
    <t>UIO-09876543</t>
  </si>
  <si>
    <t>BOUQUET</t>
  </si>
  <si>
    <t>ROSES</t>
  </si>
  <si>
    <t>EXAMPLE FARM G</t>
  </si>
  <si>
    <t>UIO-09876542</t>
  </si>
  <si>
    <t>EXAMPLE FARM B</t>
  </si>
  <si>
    <t>UIO-09876541</t>
  </si>
  <si>
    <t>EXAMPLE FARM H</t>
  </si>
  <si>
    <t>UIO-09876540</t>
  </si>
  <si>
    <t>EXAMPLE FARM D</t>
  </si>
  <si>
    <t>UIO-09876544</t>
  </si>
  <si>
    <t>CHRYSANTHEMUMS</t>
  </si>
  <si>
    <t>DELPHINIUM</t>
  </si>
  <si>
    <t>MOLUCELLA</t>
  </si>
  <si>
    <t>STOCK</t>
  </si>
  <si>
    <t>LISANTHUS</t>
  </si>
  <si>
    <t>EXAMPLE FARM F</t>
  </si>
  <si>
    <t>UIO-09876545</t>
  </si>
  <si>
    <t>ALSTROEMERIA</t>
  </si>
  <si>
    <t>EXAMPLE FARM C</t>
  </si>
  <si>
    <t>UIO-09876546</t>
  </si>
  <si>
    <t>EXAMPLE FARM A</t>
  </si>
  <si>
    <t>UIO-09876547</t>
  </si>
  <si>
    <t>ANEMONES</t>
  </si>
  <si>
    <t>RANUNCULUS</t>
  </si>
  <si>
    <t>TOTAL  IMPORTADORA DE FLORES S.A.</t>
  </si>
  <si>
    <t>TOTAL MASTER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</si>
</sst>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 m"/>
    <numFmt numFmtId="165" formatCode="d m yyyy"/>
  </numFmts>
  <fonts count="6">
    <font>
      <sz val="10.0"/>
      <color rgb="FF000000"/>
      <name val="Arial"/>
      <scheme val="minor"/>
    </font>
    <font>
      <sz val="14.0"/>
      <color rgb="FF1C4587"/>
      <name val="Arial"/>
      <scheme val="minor"/>
    </font>
    <font>
      <color theme="1"/>
      <name val="Arial"/>
      <scheme val="minor"/>
    </font>
    <font>
      <color rgb="FFFF0000"/>
      <name val="Arial"/>
      <scheme val="minor"/>
    </font>
    <font>
      <sz val="14.0"/>
      <color rgb="FF073763"/>
      <name val="Arial"/>
      <scheme val="minor"/>
    </font>
    <font>
      <b/>
      <color rgb="FFFFFFFF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FFFF00"/>
        <bgColor rgb="FFFFFF00"/>
      </patternFill>
    </fill>
    <fill>
      <patternFill patternType="solid">
        <fgColor rgb="FF1C4587"/>
        <bgColor rgb="FF1C4587"/>
      </patternFill>
    </fill>
    <fill>
      <patternFill patternType="solid">
        <fgColor rgb="FFD9D2E9"/>
        <bgColor rgb="FFD9D2E9"/>
      </patternFill>
    </fill>
  </fills>
  <borders count="8">
    <border/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1" fillId="2" fontId="2" numFmtId="0" xfId="0" applyAlignment="1" applyBorder="1" applyFill="1" applyFont="1">
      <alignment readingOrder="0"/>
    </xf>
    <xf borderId="2" fillId="2" fontId="2" numFmtId="0" xfId="0" applyAlignment="1" applyBorder="1" applyFont="1">
      <alignment readingOrder="0"/>
    </xf>
    <xf borderId="3" fillId="0" fontId="2" numFmtId="0" xfId="0" applyAlignment="1" applyBorder="1" applyFont="1">
      <alignment readingOrder="0"/>
    </xf>
    <xf borderId="4" fillId="0" fontId="2" numFmtId="0" xfId="0" applyAlignment="1" applyBorder="1" applyFont="1">
      <alignment readingOrder="0"/>
    </xf>
    <xf borderId="3" fillId="2" fontId="2" numFmtId="0" xfId="0" applyAlignment="1" applyBorder="1" applyFont="1">
      <alignment readingOrder="0"/>
    </xf>
    <xf borderId="4" fillId="2" fontId="2" numFmtId="0" xfId="0" applyAlignment="1" applyBorder="1" applyFont="1">
      <alignment readingOrder="0"/>
    </xf>
    <xf borderId="5" fillId="2" fontId="2" numFmtId="0" xfId="0" applyAlignment="1" applyBorder="1" applyFont="1">
      <alignment readingOrder="0"/>
    </xf>
    <xf borderId="6" fillId="2" fontId="2" numFmtId="0" xfId="0" applyAlignment="1" applyBorder="1" applyFont="1">
      <alignment readingOrder="0"/>
    </xf>
    <xf borderId="0" fillId="0" fontId="2" numFmtId="0" xfId="0" applyAlignment="1" applyFont="1">
      <alignment readingOrder="0"/>
    </xf>
    <xf borderId="0" fillId="3" fontId="3" numFmtId="0" xfId="0" applyAlignment="1" applyFill="1" applyFont="1">
      <alignment readingOrder="0"/>
    </xf>
    <xf borderId="0" fillId="0" fontId="4" numFmtId="0" xfId="0" applyAlignment="1" applyFont="1">
      <alignment horizontal="center" readingOrder="0"/>
    </xf>
    <xf borderId="7" fillId="4" fontId="5" numFmtId="0" xfId="0" applyAlignment="1" applyBorder="1" applyFill="1" applyFont="1">
      <alignment horizontal="center" readingOrder="0"/>
    </xf>
    <xf borderId="7" fillId="0" fontId="2" numFmtId="0" xfId="0" applyAlignment="1" applyBorder="1" applyFont="1">
      <alignment readingOrder="0"/>
    </xf>
    <xf borderId="7" fillId="0" fontId="2" numFmtId="3" xfId="0" applyAlignment="1" applyBorder="1" applyFont="1" applyNumberFormat="1">
      <alignment readingOrder="0"/>
    </xf>
    <xf borderId="7" fillId="5" fontId="2" numFmtId="0" xfId="0" applyAlignment="1" applyBorder="1" applyFill="1" applyFont="1">
      <alignment readingOrder="0"/>
    </xf>
    <xf borderId="7" fillId="0" fontId="2" numFmtId="164" xfId="0" applyAlignment="1" applyBorder="1" applyFont="1" applyNumberFormat="1">
      <alignment readingOrder="0"/>
    </xf>
    <xf borderId="7" fillId="0" fontId="2" numFmtId="165" xfId="0" applyAlignment="1" applyBorder="1" applyFont="1" applyNumberFormat="1">
      <alignment readingOrder="0"/>
    </xf>
    <xf borderId="7" fillId="5" fontId="2" numFmtId="4" xfId="0" applyAlignment="1" applyBorder="1" applyFont="1" applyNumberFormat="1">
      <alignment readingOrder="0"/>
    </xf>
    <xf borderId="7" fillId="4" fontId="5" numFmtId="3" xfId="0" applyAlignment="1" applyBorder="1" applyFont="1" applyNumberFormat="1">
      <alignment horizontal="center" readingOrder="0"/>
    </xf>
    <xf borderId="4" fillId="4" fontId="5" numFmtId="0" xfId="0" applyAlignment="1" applyBorder="1" applyFont="1">
      <alignment horizontal="center" readingOrder="0"/>
    </xf>
    <xf borderId="0" fillId="0" fontId="5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8.88"/>
    <col customWidth="1" min="2" max="2" width="31.88"/>
    <col customWidth="1" min="3" max="3" width="18.0"/>
    <col customWidth="1" min="5" max="5" width="17.5"/>
  </cols>
  <sheetData>
    <row r="2">
      <c r="A2" s="1" t="s">
        <v>0</v>
      </c>
    </row>
    <row r="5">
      <c r="A5" s="2" t="s">
        <v>1</v>
      </c>
      <c r="B5" s="3" t="s">
        <v>2</v>
      </c>
    </row>
    <row r="6">
      <c r="A6" s="4" t="s">
        <v>3</v>
      </c>
      <c r="B6" s="5" t="s">
        <v>2</v>
      </c>
    </row>
    <row r="7">
      <c r="A7" s="6" t="s">
        <v>4</v>
      </c>
      <c r="B7" s="7" t="s">
        <v>5</v>
      </c>
    </row>
    <row r="8">
      <c r="A8" s="4" t="s">
        <v>6</v>
      </c>
      <c r="B8" s="5" t="s">
        <v>7</v>
      </c>
    </row>
    <row r="9">
      <c r="A9" s="6" t="s">
        <v>8</v>
      </c>
      <c r="B9" s="7" t="s">
        <v>9</v>
      </c>
    </row>
    <row r="10">
      <c r="A10" s="4" t="s">
        <v>10</v>
      </c>
      <c r="B10" s="5" t="s">
        <v>11</v>
      </c>
    </row>
    <row r="11">
      <c r="A11" s="6" t="s">
        <v>12</v>
      </c>
      <c r="B11" s="7" t="s">
        <v>13</v>
      </c>
    </row>
    <row r="12">
      <c r="A12" s="4" t="s">
        <v>14</v>
      </c>
      <c r="B12" s="5" t="s">
        <v>15</v>
      </c>
    </row>
    <row r="13">
      <c r="A13" s="8" t="s">
        <v>16</v>
      </c>
      <c r="B13" s="9" t="s">
        <v>11</v>
      </c>
    </row>
    <row r="14">
      <c r="A14" s="10" t="s">
        <v>17</v>
      </c>
    </row>
    <row r="15">
      <c r="A15" s="11" t="s">
        <v>18</v>
      </c>
    </row>
    <row r="17">
      <c r="A17" s="12" t="s">
        <v>19</v>
      </c>
    </row>
    <row r="20">
      <c r="A20" s="13" t="s">
        <v>20</v>
      </c>
      <c r="B20" s="13" t="s">
        <v>21</v>
      </c>
      <c r="C20" s="13" t="s">
        <v>22</v>
      </c>
      <c r="D20" s="13" t="s">
        <v>23</v>
      </c>
      <c r="E20" s="13" t="s">
        <v>24</v>
      </c>
      <c r="F20" s="13" t="s">
        <v>25</v>
      </c>
      <c r="G20" s="13" t="s">
        <v>26</v>
      </c>
      <c r="H20" s="13" t="s">
        <v>27</v>
      </c>
      <c r="I20" s="13" t="s">
        <v>28</v>
      </c>
      <c r="J20" s="13" t="s">
        <v>29</v>
      </c>
      <c r="K20" s="13" t="s">
        <v>30</v>
      </c>
      <c r="L20" s="13" t="s">
        <v>31</v>
      </c>
      <c r="M20" s="13" t="s">
        <v>32</v>
      </c>
      <c r="N20" s="13" t="s">
        <v>33</v>
      </c>
    </row>
    <row r="21">
      <c r="A21" s="14" t="s">
        <v>2</v>
      </c>
      <c r="B21" s="14" t="s">
        <v>2</v>
      </c>
      <c r="C21" s="14" t="s">
        <v>34</v>
      </c>
      <c r="D21" s="14" t="s">
        <v>35</v>
      </c>
      <c r="E21" s="14" t="s">
        <v>36</v>
      </c>
      <c r="F21" s="15">
        <v>1920.0</v>
      </c>
      <c r="G21" s="16">
        <v>780.0</v>
      </c>
      <c r="H21" s="16">
        <v>0.0</v>
      </c>
      <c r="I21" s="16">
        <v>20.0</v>
      </c>
      <c r="J21" s="16">
        <v>0.0</v>
      </c>
      <c r="K21" s="16">
        <v>5.0</v>
      </c>
      <c r="L21" s="16">
        <v>20.0</v>
      </c>
      <c r="M21" s="17">
        <v>46180.0</v>
      </c>
      <c r="N21" s="16">
        <v>191.0</v>
      </c>
    </row>
    <row r="22">
      <c r="A22" s="14" t="s">
        <v>2</v>
      </c>
      <c r="B22" s="14" t="s">
        <v>2</v>
      </c>
      <c r="C22" s="14" t="s">
        <v>34</v>
      </c>
      <c r="D22" s="14" t="s">
        <v>35</v>
      </c>
      <c r="E22" s="14" t="s">
        <v>37</v>
      </c>
      <c r="F22" s="14">
        <v>800.0</v>
      </c>
      <c r="G22" s="16">
        <v>417.5</v>
      </c>
      <c r="H22" s="16">
        <v>0.0</v>
      </c>
      <c r="I22" s="16">
        <v>8.0</v>
      </c>
      <c r="J22" s="16">
        <v>0.0</v>
      </c>
      <c r="K22" s="16">
        <v>2.0</v>
      </c>
      <c r="L22" s="16">
        <v>8.0</v>
      </c>
      <c r="M22" s="17">
        <v>46180.0</v>
      </c>
      <c r="N22" s="16">
        <v>0.0</v>
      </c>
    </row>
    <row r="23">
      <c r="A23" s="14" t="s">
        <v>2</v>
      </c>
      <c r="B23" s="14" t="s">
        <v>2</v>
      </c>
      <c r="C23" s="14" t="s">
        <v>34</v>
      </c>
      <c r="D23" s="14" t="s">
        <v>35</v>
      </c>
      <c r="E23" s="14" t="s">
        <v>37</v>
      </c>
      <c r="F23" s="14">
        <v>100.0</v>
      </c>
      <c r="G23" s="16">
        <v>46.25</v>
      </c>
      <c r="H23" s="16">
        <v>0.0</v>
      </c>
      <c r="I23" s="16">
        <v>1.0</v>
      </c>
      <c r="J23" s="16">
        <v>0.0</v>
      </c>
      <c r="K23" s="16">
        <v>0.25</v>
      </c>
      <c r="L23" s="16">
        <v>1.0</v>
      </c>
      <c r="M23" s="17">
        <v>46180.0</v>
      </c>
      <c r="N23" s="16">
        <v>0.0</v>
      </c>
    </row>
    <row r="24">
      <c r="A24" s="14" t="s">
        <v>2</v>
      </c>
      <c r="B24" s="14" t="s">
        <v>2</v>
      </c>
      <c r="C24" s="14" t="s">
        <v>38</v>
      </c>
      <c r="D24" s="14" t="s">
        <v>39</v>
      </c>
      <c r="E24" s="14" t="s">
        <v>37</v>
      </c>
      <c r="F24" s="14">
        <v>480.0</v>
      </c>
      <c r="G24" s="16">
        <v>195.0</v>
      </c>
      <c r="H24" s="16">
        <v>0.0</v>
      </c>
      <c r="I24" s="16">
        <v>5.0</v>
      </c>
      <c r="J24" s="16">
        <v>0.0</v>
      </c>
      <c r="K24" s="16">
        <v>1.25</v>
      </c>
      <c r="L24" s="16">
        <v>5.0</v>
      </c>
      <c r="M24" s="14">
        <v>7.0</v>
      </c>
      <c r="N24" s="16">
        <v>33.0</v>
      </c>
    </row>
    <row r="25">
      <c r="A25" s="14" t="s">
        <v>2</v>
      </c>
      <c r="B25" s="14" t="s">
        <v>2</v>
      </c>
      <c r="C25" s="14" t="s">
        <v>40</v>
      </c>
      <c r="D25" s="14" t="s">
        <v>41</v>
      </c>
      <c r="E25" s="14" t="s">
        <v>37</v>
      </c>
      <c r="F25" s="14">
        <v>500.0</v>
      </c>
      <c r="G25" s="16">
        <v>267.71</v>
      </c>
      <c r="H25" s="16">
        <v>0.0</v>
      </c>
      <c r="I25" s="16">
        <v>5.0</v>
      </c>
      <c r="J25" s="16">
        <v>0.0</v>
      </c>
      <c r="K25" s="16">
        <v>1.25</v>
      </c>
      <c r="L25" s="16">
        <v>5.0</v>
      </c>
      <c r="M25" s="18">
        <v>38905.0</v>
      </c>
      <c r="N25" s="16">
        <v>310.0</v>
      </c>
    </row>
    <row r="26">
      <c r="A26" s="14" t="s">
        <v>2</v>
      </c>
      <c r="B26" s="14" t="s">
        <v>2</v>
      </c>
      <c r="C26" s="14" t="s">
        <v>40</v>
      </c>
      <c r="D26" s="14" t="s">
        <v>41</v>
      </c>
      <c r="E26" s="14" t="s">
        <v>36</v>
      </c>
      <c r="F26" s="15">
        <v>2880.0</v>
      </c>
      <c r="G26" s="19">
        <v>1170.0</v>
      </c>
      <c r="H26" s="16">
        <v>0.0</v>
      </c>
      <c r="I26" s="16">
        <v>30.0</v>
      </c>
      <c r="J26" s="16">
        <v>0.0</v>
      </c>
      <c r="K26" s="16">
        <v>7.5</v>
      </c>
      <c r="L26" s="16">
        <v>30.0</v>
      </c>
      <c r="M26" s="18">
        <v>38905.0</v>
      </c>
      <c r="N26" s="16">
        <v>0.0</v>
      </c>
    </row>
    <row r="27">
      <c r="A27" s="14" t="s">
        <v>2</v>
      </c>
      <c r="B27" s="14" t="s">
        <v>2</v>
      </c>
      <c r="C27" s="14" t="s">
        <v>40</v>
      </c>
      <c r="D27" s="14" t="s">
        <v>41</v>
      </c>
      <c r="E27" s="14" t="s">
        <v>37</v>
      </c>
      <c r="F27" s="15">
        <v>1000.0</v>
      </c>
      <c r="G27" s="16">
        <v>535.42</v>
      </c>
      <c r="H27" s="16">
        <v>0.0</v>
      </c>
      <c r="I27" s="16">
        <v>10.0</v>
      </c>
      <c r="J27" s="16">
        <v>0.0</v>
      </c>
      <c r="K27" s="16">
        <v>2.5</v>
      </c>
      <c r="L27" s="16">
        <v>10.0</v>
      </c>
      <c r="M27" s="18">
        <v>38905.0</v>
      </c>
      <c r="N27" s="16">
        <v>0.0</v>
      </c>
    </row>
    <row r="28">
      <c r="A28" s="14" t="s">
        <v>2</v>
      </c>
      <c r="B28" s="14" t="s">
        <v>2</v>
      </c>
      <c r="C28" s="14" t="s">
        <v>40</v>
      </c>
      <c r="D28" s="14" t="s">
        <v>41</v>
      </c>
      <c r="E28" s="14" t="s">
        <v>37</v>
      </c>
      <c r="F28" s="14">
        <v>200.0</v>
      </c>
      <c r="G28" s="16">
        <v>70.63</v>
      </c>
      <c r="H28" s="16">
        <v>1.0</v>
      </c>
      <c r="I28" s="16">
        <v>0.0</v>
      </c>
      <c r="J28" s="16">
        <v>0.0</v>
      </c>
      <c r="K28" s="16">
        <v>0.5</v>
      </c>
      <c r="L28" s="16">
        <v>1.0</v>
      </c>
      <c r="M28" s="18">
        <v>38905.0</v>
      </c>
      <c r="N28" s="16">
        <v>0.0</v>
      </c>
    </row>
    <row r="29">
      <c r="A29" s="14" t="s">
        <v>2</v>
      </c>
      <c r="B29" s="14" t="s">
        <v>2</v>
      </c>
      <c r="C29" s="14" t="s">
        <v>42</v>
      </c>
      <c r="D29" s="14" t="s">
        <v>43</v>
      </c>
      <c r="E29" s="14" t="s">
        <v>37</v>
      </c>
      <c r="F29" s="14">
        <v>300.0</v>
      </c>
      <c r="G29" s="16">
        <v>155.0</v>
      </c>
      <c r="H29" s="16">
        <v>0.0</v>
      </c>
      <c r="I29" s="16">
        <v>3.0</v>
      </c>
      <c r="J29" s="16">
        <v>0.0</v>
      </c>
      <c r="K29" s="16">
        <v>0.75</v>
      </c>
      <c r="L29" s="16">
        <v>3.0</v>
      </c>
      <c r="M29" s="17">
        <v>46180.0</v>
      </c>
      <c r="N29" s="16">
        <v>20.0</v>
      </c>
    </row>
    <row r="30">
      <c r="A30" s="14" t="s">
        <v>2</v>
      </c>
      <c r="B30" s="14" t="s">
        <v>2</v>
      </c>
      <c r="C30" s="14" t="s">
        <v>44</v>
      </c>
      <c r="D30" s="14" t="s">
        <v>45</v>
      </c>
      <c r="E30" s="14" t="s">
        <v>46</v>
      </c>
      <c r="F30" s="14">
        <v>100.0</v>
      </c>
      <c r="G30" s="16">
        <v>47.5</v>
      </c>
      <c r="H30" s="16">
        <v>0.0</v>
      </c>
      <c r="I30" s="16">
        <v>1.0</v>
      </c>
      <c r="J30" s="16">
        <v>0.0</v>
      </c>
      <c r="K30" s="16">
        <v>0.25</v>
      </c>
      <c r="L30" s="16">
        <v>1.0</v>
      </c>
      <c r="M30" s="17">
        <v>46086.0</v>
      </c>
      <c r="N30" s="16">
        <v>277.0</v>
      </c>
    </row>
    <row r="31">
      <c r="A31" s="14" t="s">
        <v>2</v>
      </c>
      <c r="B31" s="14" t="s">
        <v>2</v>
      </c>
      <c r="C31" s="14" t="s">
        <v>44</v>
      </c>
      <c r="D31" s="14" t="s">
        <v>45</v>
      </c>
      <c r="E31" s="14" t="s">
        <v>47</v>
      </c>
      <c r="F31" s="15">
        <v>2000.0</v>
      </c>
      <c r="G31" s="19">
        <v>1350.0</v>
      </c>
      <c r="H31" s="16">
        <v>0.0</v>
      </c>
      <c r="I31" s="16">
        <v>14.0</v>
      </c>
      <c r="J31" s="16">
        <v>0.0</v>
      </c>
      <c r="K31" s="16">
        <v>3.5</v>
      </c>
      <c r="L31" s="16">
        <v>14.0</v>
      </c>
      <c r="M31" s="17">
        <v>46086.0</v>
      </c>
      <c r="N31" s="16">
        <v>0.0</v>
      </c>
    </row>
    <row r="32">
      <c r="A32" s="14" t="s">
        <v>2</v>
      </c>
      <c r="B32" s="14" t="s">
        <v>2</v>
      </c>
      <c r="C32" s="14" t="s">
        <v>44</v>
      </c>
      <c r="D32" s="14" t="s">
        <v>45</v>
      </c>
      <c r="E32" s="14" t="s">
        <v>48</v>
      </c>
      <c r="F32" s="14">
        <v>480.0</v>
      </c>
      <c r="G32" s="16">
        <v>180.0</v>
      </c>
      <c r="H32" s="16">
        <v>0.0</v>
      </c>
      <c r="I32" s="16">
        <v>4.0</v>
      </c>
      <c r="J32" s="16">
        <v>0.0</v>
      </c>
      <c r="K32" s="16">
        <v>1.0</v>
      </c>
      <c r="L32" s="16">
        <v>4.0</v>
      </c>
      <c r="M32" s="17">
        <v>46086.0</v>
      </c>
      <c r="N32" s="16">
        <v>0.0</v>
      </c>
    </row>
    <row r="33">
      <c r="A33" s="14" t="s">
        <v>2</v>
      </c>
      <c r="B33" s="14" t="s">
        <v>2</v>
      </c>
      <c r="C33" s="14" t="s">
        <v>44</v>
      </c>
      <c r="D33" s="14" t="s">
        <v>45</v>
      </c>
      <c r="E33" s="14" t="s">
        <v>49</v>
      </c>
      <c r="F33" s="15">
        <v>3080.0</v>
      </c>
      <c r="G33" s="19">
        <v>1079.0</v>
      </c>
      <c r="H33" s="16">
        <v>0.0</v>
      </c>
      <c r="I33" s="16">
        <v>22.0</v>
      </c>
      <c r="J33" s="16">
        <v>0.0</v>
      </c>
      <c r="K33" s="16">
        <v>5.5</v>
      </c>
      <c r="L33" s="16">
        <v>22.0</v>
      </c>
      <c r="M33" s="17">
        <v>46086.0</v>
      </c>
      <c r="N33" s="16">
        <v>0.0</v>
      </c>
    </row>
    <row r="34">
      <c r="A34" s="14" t="s">
        <v>2</v>
      </c>
      <c r="B34" s="14" t="s">
        <v>2</v>
      </c>
      <c r="C34" s="14" t="s">
        <v>44</v>
      </c>
      <c r="D34" s="14" t="s">
        <v>45</v>
      </c>
      <c r="E34" s="14" t="s">
        <v>50</v>
      </c>
      <c r="F34" s="14">
        <v>150.0</v>
      </c>
      <c r="G34" s="16">
        <v>103.13</v>
      </c>
      <c r="H34" s="16">
        <v>0.0</v>
      </c>
      <c r="I34" s="16">
        <v>1.0</v>
      </c>
      <c r="J34" s="16">
        <v>0.0</v>
      </c>
      <c r="K34" s="16">
        <v>0.25</v>
      </c>
      <c r="L34" s="16">
        <v>1.0</v>
      </c>
      <c r="M34" s="17">
        <v>46086.0</v>
      </c>
      <c r="N34" s="16">
        <v>0.0</v>
      </c>
    </row>
    <row r="35">
      <c r="A35" s="14" t="s">
        <v>2</v>
      </c>
      <c r="B35" s="14" t="s">
        <v>2</v>
      </c>
      <c r="C35" s="14" t="s">
        <v>51</v>
      </c>
      <c r="D35" s="14" t="s">
        <v>52</v>
      </c>
      <c r="E35" s="14" t="s">
        <v>53</v>
      </c>
      <c r="F35" s="14">
        <v>300.0</v>
      </c>
      <c r="G35" s="16">
        <v>93.75</v>
      </c>
      <c r="H35" s="16">
        <v>0.0</v>
      </c>
      <c r="I35" s="16">
        <v>2.0</v>
      </c>
      <c r="J35" s="16">
        <v>0.0</v>
      </c>
      <c r="K35" s="16">
        <v>0.5</v>
      </c>
      <c r="L35" s="16">
        <v>2.0</v>
      </c>
      <c r="M35" s="17">
        <v>46182.0</v>
      </c>
      <c r="N35" s="16">
        <v>218.0</v>
      </c>
    </row>
    <row r="36">
      <c r="A36" s="14" t="s">
        <v>2</v>
      </c>
      <c r="B36" s="14" t="s">
        <v>2</v>
      </c>
      <c r="C36" s="14" t="s">
        <v>51</v>
      </c>
      <c r="D36" s="14" t="s">
        <v>52</v>
      </c>
      <c r="E36" s="14" t="s">
        <v>37</v>
      </c>
      <c r="F36" s="14">
        <v>200.0</v>
      </c>
      <c r="G36" s="16">
        <v>108.75</v>
      </c>
      <c r="H36" s="16">
        <v>0.0</v>
      </c>
      <c r="I36" s="16">
        <v>2.0</v>
      </c>
      <c r="J36" s="16">
        <v>0.0</v>
      </c>
      <c r="K36" s="16">
        <v>0.5</v>
      </c>
      <c r="L36" s="16">
        <v>2.0</v>
      </c>
      <c r="M36" s="17">
        <v>46182.0</v>
      </c>
      <c r="N36" s="16">
        <v>0.0</v>
      </c>
    </row>
    <row r="37">
      <c r="A37" s="14" t="s">
        <v>2</v>
      </c>
      <c r="B37" s="14" t="s">
        <v>2</v>
      </c>
      <c r="C37" s="14" t="s">
        <v>51</v>
      </c>
      <c r="D37" s="14" t="s">
        <v>52</v>
      </c>
      <c r="E37" s="14" t="s">
        <v>37</v>
      </c>
      <c r="F37" s="14">
        <v>800.0</v>
      </c>
      <c r="G37" s="16">
        <v>484.63</v>
      </c>
      <c r="H37" s="16">
        <v>0.0</v>
      </c>
      <c r="I37" s="16">
        <v>8.0</v>
      </c>
      <c r="J37" s="16">
        <v>0.0</v>
      </c>
      <c r="K37" s="16">
        <v>2.0</v>
      </c>
      <c r="L37" s="16">
        <v>8.0</v>
      </c>
      <c r="M37" s="17">
        <v>46182.0</v>
      </c>
      <c r="N37" s="16">
        <v>0.0</v>
      </c>
    </row>
    <row r="38">
      <c r="A38" s="14" t="s">
        <v>2</v>
      </c>
      <c r="B38" s="14" t="s">
        <v>2</v>
      </c>
      <c r="C38" s="14" t="s">
        <v>51</v>
      </c>
      <c r="D38" s="14" t="s">
        <v>52</v>
      </c>
      <c r="E38" s="14" t="s">
        <v>36</v>
      </c>
      <c r="F38" s="15">
        <v>1920.0</v>
      </c>
      <c r="G38" s="16">
        <v>780.0</v>
      </c>
      <c r="H38" s="16">
        <v>0.0</v>
      </c>
      <c r="I38" s="16">
        <v>20.0</v>
      </c>
      <c r="J38" s="16">
        <v>0.0</v>
      </c>
      <c r="K38" s="16">
        <v>5.0</v>
      </c>
      <c r="L38" s="16">
        <v>20.0</v>
      </c>
      <c r="M38" s="17">
        <v>46182.0</v>
      </c>
      <c r="N38" s="16">
        <v>0.0</v>
      </c>
    </row>
    <row r="39">
      <c r="A39" s="14" t="s">
        <v>2</v>
      </c>
      <c r="B39" s="14" t="s">
        <v>2</v>
      </c>
      <c r="C39" s="14" t="s">
        <v>51</v>
      </c>
      <c r="D39" s="14" t="s">
        <v>52</v>
      </c>
      <c r="E39" s="14" t="s">
        <v>37</v>
      </c>
      <c r="F39" s="14">
        <v>100.0</v>
      </c>
      <c r="G39" s="16">
        <v>51.25</v>
      </c>
      <c r="H39" s="16">
        <v>0.0</v>
      </c>
      <c r="I39" s="16">
        <v>1.0</v>
      </c>
      <c r="J39" s="16">
        <v>0.0</v>
      </c>
      <c r="K39" s="16">
        <v>0.25</v>
      </c>
      <c r="L39" s="16">
        <v>1.0</v>
      </c>
      <c r="M39" s="17">
        <v>46182.0</v>
      </c>
      <c r="N39" s="16">
        <v>0.0</v>
      </c>
    </row>
    <row r="40">
      <c r="A40" s="14" t="s">
        <v>2</v>
      </c>
      <c r="B40" s="14" t="s">
        <v>2</v>
      </c>
      <c r="C40" s="14" t="s">
        <v>54</v>
      </c>
      <c r="D40" s="14" t="s">
        <v>55</v>
      </c>
      <c r="E40" s="14" t="s">
        <v>37</v>
      </c>
      <c r="F40" s="15">
        <v>1500.0</v>
      </c>
      <c r="G40" s="16">
        <v>758.75</v>
      </c>
      <c r="H40" s="16">
        <v>0.0</v>
      </c>
      <c r="I40" s="16">
        <v>15.0</v>
      </c>
      <c r="J40" s="16">
        <v>0.0</v>
      </c>
      <c r="K40" s="16">
        <v>3.75</v>
      </c>
      <c r="L40" s="16">
        <v>15.0</v>
      </c>
      <c r="M40" s="14">
        <v>6.0</v>
      </c>
      <c r="N40" s="16">
        <v>99.0</v>
      </c>
    </row>
    <row r="41">
      <c r="A41" s="14" t="s">
        <v>2</v>
      </c>
      <c r="B41" s="14" t="s">
        <v>2</v>
      </c>
      <c r="C41" s="14" t="s">
        <v>56</v>
      </c>
      <c r="D41" s="14" t="s">
        <v>57</v>
      </c>
      <c r="E41" s="14" t="s">
        <v>58</v>
      </c>
      <c r="F41" s="14">
        <v>100.0</v>
      </c>
      <c r="G41" s="16">
        <v>41.25</v>
      </c>
      <c r="H41" s="16">
        <v>0.0</v>
      </c>
      <c r="I41" s="16">
        <v>0.0</v>
      </c>
      <c r="J41" s="16">
        <v>1.0</v>
      </c>
      <c r="K41" s="16">
        <v>0.17</v>
      </c>
      <c r="L41" s="16">
        <v>1.0</v>
      </c>
      <c r="M41" s="14">
        <v>6.0</v>
      </c>
      <c r="N41" s="16">
        <v>82.0</v>
      </c>
    </row>
    <row r="42">
      <c r="A42" s="14" t="s">
        <v>2</v>
      </c>
      <c r="B42" s="14" t="s">
        <v>2</v>
      </c>
      <c r="C42" s="14" t="s">
        <v>56</v>
      </c>
      <c r="D42" s="14" t="s">
        <v>57</v>
      </c>
      <c r="E42" s="14" t="s">
        <v>47</v>
      </c>
      <c r="F42" s="14">
        <v>300.0</v>
      </c>
      <c r="G42" s="16">
        <v>216.25</v>
      </c>
      <c r="H42" s="16">
        <v>0.0</v>
      </c>
      <c r="I42" s="16">
        <v>3.0</v>
      </c>
      <c r="J42" s="16">
        <v>0.0</v>
      </c>
      <c r="K42" s="16">
        <v>0.75</v>
      </c>
      <c r="L42" s="16">
        <v>3.0</v>
      </c>
      <c r="M42" s="14">
        <v>6.0</v>
      </c>
      <c r="N42" s="16">
        <v>0.0</v>
      </c>
    </row>
    <row r="43">
      <c r="A43" s="14" t="s">
        <v>2</v>
      </c>
      <c r="B43" s="14" t="s">
        <v>2</v>
      </c>
      <c r="C43" s="14" t="s">
        <v>56</v>
      </c>
      <c r="D43" s="14" t="s">
        <v>57</v>
      </c>
      <c r="E43" s="14" t="s">
        <v>37</v>
      </c>
      <c r="F43" s="14">
        <v>600.0</v>
      </c>
      <c r="G43" s="16">
        <v>355.0</v>
      </c>
      <c r="H43" s="16">
        <v>0.0</v>
      </c>
      <c r="I43" s="16">
        <v>6.0</v>
      </c>
      <c r="J43" s="16">
        <v>0.0</v>
      </c>
      <c r="K43" s="16">
        <v>1.5</v>
      </c>
      <c r="L43" s="16">
        <v>6.0</v>
      </c>
      <c r="M43" s="14">
        <v>6.0</v>
      </c>
      <c r="N43" s="16">
        <v>0.0</v>
      </c>
    </row>
    <row r="44">
      <c r="A44" s="14" t="s">
        <v>2</v>
      </c>
      <c r="B44" s="14" t="s">
        <v>2</v>
      </c>
      <c r="C44" s="14" t="s">
        <v>56</v>
      </c>
      <c r="D44" s="14" t="s">
        <v>57</v>
      </c>
      <c r="E44" s="14" t="s">
        <v>37</v>
      </c>
      <c r="F44" s="14">
        <v>200.0</v>
      </c>
      <c r="G44" s="16">
        <v>102.5</v>
      </c>
      <c r="H44" s="16">
        <v>0.0</v>
      </c>
      <c r="I44" s="16">
        <v>2.0</v>
      </c>
      <c r="J44" s="16">
        <v>0.0</v>
      </c>
      <c r="K44" s="16">
        <v>0.5</v>
      </c>
      <c r="L44" s="16">
        <v>2.0</v>
      </c>
      <c r="M44" s="14">
        <v>6.0</v>
      </c>
      <c r="N44" s="16">
        <v>0.0</v>
      </c>
    </row>
    <row r="45">
      <c r="A45" s="14" t="s">
        <v>2</v>
      </c>
      <c r="B45" s="14" t="s">
        <v>2</v>
      </c>
      <c r="C45" s="14" t="s">
        <v>56</v>
      </c>
      <c r="D45" s="14" t="s">
        <v>57</v>
      </c>
      <c r="E45" s="14" t="s">
        <v>59</v>
      </c>
      <c r="F45" s="14">
        <v>100.0</v>
      </c>
      <c r="G45" s="16">
        <v>68.75</v>
      </c>
      <c r="H45" s="16">
        <v>0.0</v>
      </c>
      <c r="I45" s="16">
        <v>0.0</v>
      </c>
      <c r="J45" s="16">
        <v>1.0</v>
      </c>
      <c r="K45" s="16">
        <v>0.17</v>
      </c>
      <c r="L45" s="16">
        <v>1.0</v>
      </c>
      <c r="M45" s="14">
        <v>6.0</v>
      </c>
      <c r="N45" s="16">
        <v>0.0</v>
      </c>
    </row>
    <row r="46">
      <c r="A46" s="13" t="s">
        <v>60</v>
      </c>
      <c r="B46" s="13"/>
      <c r="C46" s="13"/>
      <c r="D46" s="13"/>
      <c r="E46" s="13"/>
      <c r="F46" s="20">
        <f t="shared" ref="F46:L46" si="1">SUM(F21:F45)</f>
        <v>20110</v>
      </c>
      <c r="G46" s="13">
        <f t="shared" si="1"/>
        <v>9458.02</v>
      </c>
      <c r="H46" s="13">
        <f t="shared" si="1"/>
        <v>1</v>
      </c>
      <c r="I46" s="13">
        <f t="shared" si="1"/>
        <v>183</v>
      </c>
      <c r="J46" s="13">
        <f t="shared" si="1"/>
        <v>2</v>
      </c>
      <c r="K46" s="13">
        <f t="shared" si="1"/>
        <v>46.59</v>
      </c>
      <c r="L46" s="13">
        <f t="shared" si="1"/>
        <v>186</v>
      </c>
      <c r="M46" s="13"/>
      <c r="N46" s="13"/>
    </row>
    <row r="48">
      <c r="A48" s="13" t="s">
        <v>61</v>
      </c>
      <c r="B48" s="13"/>
      <c r="C48" s="13"/>
      <c r="D48" s="13"/>
      <c r="E48" s="13"/>
      <c r="F48" s="20">
        <f t="shared" ref="F48:L48" si="2">F46</f>
        <v>20110</v>
      </c>
      <c r="G48" s="13">
        <f t="shared" si="2"/>
        <v>9458.02</v>
      </c>
      <c r="H48" s="13">
        <f t="shared" si="2"/>
        <v>1</v>
      </c>
      <c r="I48" s="13">
        <f t="shared" si="2"/>
        <v>183</v>
      </c>
      <c r="J48" s="13">
        <f t="shared" si="2"/>
        <v>2</v>
      </c>
      <c r="K48" s="13">
        <f t="shared" si="2"/>
        <v>46.59</v>
      </c>
      <c r="L48" s="13">
        <f t="shared" si="2"/>
        <v>186</v>
      </c>
      <c r="M48" s="13"/>
      <c r="N48" s="21"/>
      <c r="O48" s="22"/>
      <c r="P48" s="22"/>
      <c r="Q48" s="22"/>
      <c r="R48" s="22"/>
    </row>
  </sheetData>
  <mergeCells count="3">
    <mergeCell ref="A2:I2"/>
    <mergeCell ref="A15:I15"/>
    <mergeCell ref="A17:N17"/>
  </mergeCells>
  <drawing r:id="rId1"/>
</worksheet>
</file>